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s" sheetId="2" state="visible" r:id="rId4"/>
    <sheet name="Milestones &amp; Gates" sheetId="3" state="visible" r:id="rId5"/>
    <sheet name="Risks &amp; Dependencies" sheetId="4" state="visible" r:id="rId6"/>
  </sheets>
  <definedNames>
    <definedName function="false" hidden="true" localSheetId="1" name="_xlnm._FilterDatabase" vbProcedure="false">Tasks!$A$4:$K$15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<sst xmlns="http://schemas.openxmlformats.org/spreadsheetml/2006/main" count="218" uniqueCount="136">
  <si>
    <t xml:space="preserve">Pen Testing — Q4 Tracker</t>
  </si>
  <si>
    <t xml:space="preserve">Automated pen-testing platform: request in → pipeline → report out. Design-heavy, needs a UI. Oct–Dec 2026.</t>
  </si>
  <si>
    <t xml:space="preserve">THE PLAN IN ONE LOOK</t>
  </si>
  <si>
    <t xml:space="preserve">The work</t>
  </si>
  <si>
    <t xml:space="preserve">The broader automated pen-testing platform: an exploitation/test request comes IN from upstream, the pipeline runs, and a reconciliation report goes OUT downstream to the product's engineering team. It needs a UI and the full feature set, so it earns its own longer timeline.</t>
  </si>
  <si>
    <t xml:space="preserve">Shape of Q4</t>
  </si>
  <si>
    <t xml:space="preserve">Oct–Nov: design + requirements with the full team — pull everything already captured into one coherent design (upstream in, reporting out, all requirements), plus UI/UX. Dec: freeze only the thin first slice, launch the testing POC, start the build.</t>
  </si>
  <si>
    <t xml:space="preserve">Staffing</t>
  </si>
  <si>
    <t xml:space="preserve">Lead + Principal + Architect + team on the design, in parallel with the sandbox POC. Onboard newcomers via the existing design docs so they self-serve instead of pulling the design out of the Lead live.</t>
  </si>
  <si>
    <t xml:space="preserve">↔  Paired with the Exploitation Sandbox tracker. This pipeline runs its exploits inside that sandbox — so the sandbox is a dependency for this track's POC.</t>
  </si>
  <si>
    <t xml:space="preserve">PROGRESS (live — updates as you set Status on the Tasks tab)</t>
  </si>
  <si>
    <t xml:space="preserve">Metric</t>
  </si>
  <si>
    <t xml:space="preserve">Count</t>
  </si>
  <si>
    <t xml:space="preserve">Total tasks</t>
  </si>
  <si>
    <t xml:space="preserve">Done</t>
  </si>
  <si>
    <t xml:space="preserve">In Progress</t>
  </si>
  <si>
    <t xml:space="preserve">Blocked</t>
  </si>
  <si>
    <t xml:space="preserve">Not Started</t>
  </si>
  <si>
    <t xml:space="preserve">% complete</t>
  </si>
  <si>
    <t xml:space="preserve">HOW TO USE</t>
  </si>
  <si>
    <t xml:space="preserve">•  Tabs: Tasks (weekly working list) · Milestones &amp; Gates (dates + what 'done' means) · Risks &amp; Dependencies.</t>
  </si>
  <si>
    <t xml:space="preserve">•  Set Status on Tasks with the dropdown — the Progress box recalculates automatically. Pick from the list, don't type.</t>
  </si>
  <si>
    <t xml:space="preserve">•  Owners are roles: Lead = you · Principal / Architect = senior design partners · team = your engineers · Product · CyberOps · Sponsor (MD).</t>
  </si>
  <si>
    <t xml:space="preserve">•  Dates are a working draft — drag to your real calendar. The Oct / Oct–Nov / Dec phase buckets hold even if exact days move.</t>
  </si>
  <si>
    <t xml:space="preserve">Tasks</t>
  </si>
  <si>
    <t xml:space="preserve">The working list — update Status weekly.</t>
  </si>
  <si>
    <t xml:space="preserve">ID</t>
  </si>
  <si>
    <t xml:space="preserve">Track</t>
  </si>
  <si>
    <t xml:space="preserve">Phase</t>
  </si>
  <si>
    <t xml:space="preserve">Task</t>
  </si>
  <si>
    <t xml:space="preserve">Owner (role)</t>
  </si>
  <si>
    <t xml:space="preserve">Start</t>
  </si>
  <si>
    <t xml:space="preserve">Due</t>
  </si>
  <si>
    <t xml:space="preserve">Priority</t>
  </si>
  <si>
    <t xml:space="preserve">Status</t>
  </si>
  <si>
    <t xml:space="preserve">Depends On</t>
  </si>
  <si>
    <t xml:space="preserve">Notes</t>
  </si>
  <si>
    <t xml:space="preserve">P1</t>
  </si>
  <si>
    <t xml:space="preserve">Pen Test</t>
  </si>
  <si>
    <t xml:space="preserve">Oct–Nov</t>
  </si>
  <si>
    <t xml:space="preserve">Formulate the full testing picture into one coherent design</t>
  </si>
  <si>
    <t xml:space="preserve">Lead, Principal, Architect, team</t>
  </si>
  <si>
    <t xml:space="preserve">High</t>
  </si>
  <si>
    <t xml:space="preserve">—</t>
  </si>
  <si>
    <t xml:space="preserve">Lots already captured — this is organizing and completing it, not starting cold: upstream request IN, pipeline, reporting OUT, and all the requirements gathered so far.</t>
  </si>
  <si>
    <t xml:space="preserve">P2</t>
  </si>
  <si>
    <t xml:space="preserve">Requirement gathering with CyberOps (testing track)</t>
  </si>
  <si>
    <t xml:space="preserve">Lead, CyberOps</t>
  </si>
  <si>
    <t xml:space="preserve">Runs in parallel with the sandbox's requirements effort.</t>
  </si>
  <si>
    <t xml:space="preserve">P3</t>
  </si>
  <si>
    <t xml:space="preserve">Oct</t>
  </si>
  <si>
    <t xml:space="preserve">Onboard Principal + Architect via the existing design docs (self-serve)</t>
  </si>
  <si>
    <t xml:space="preserve">Lead</t>
  </si>
  <si>
    <t xml:space="preserve">Point newcomers at the written design instead of re-explaining live — the single biggest protector of your velocity.</t>
  </si>
  <si>
    <t xml:space="preserve">P4</t>
  </si>
  <si>
    <t xml:space="preserve">Design the upstream side: how a test/exploitation request comes IN</t>
  </si>
  <si>
    <t xml:space="preserve">Lead, team</t>
  </si>
  <si>
    <t xml:space="preserve">The entry contract for the pipeline — what a request carries, how it's scoped and authorized.</t>
  </si>
  <si>
    <t xml:space="preserve">P5</t>
  </si>
  <si>
    <t xml:space="preserve">Design the downstream side: the reporting OUT</t>
  </si>
  <si>
    <t xml:space="preserve">The reconciliation report to the product's engineering team — scanner-found vs independently-tested, and the overlap (confirmed). Needs a strong model to write clear dev guidance per bucket.</t>
  </si>
  <si>
    <t xml:space="preserve">P6</t>
  </si>
  <si>
    <t xml:space="preserve">Design the thin first slice to actually build (NOT the whole product)</t>
  </si>
  <si>
    <t xml:space="preserve">Freeze only this in December; keep the rest as roadmap. Protects Oct–Nov from doing everything at once.</t>
  </si>
  <si>
    <t xml:space="preserve">P7</t>
  </si>
  <si>
    <t xml:space="preserve">UI/UX design (the testing product needs a UI + full feature set)</t>
  </si>
  <si>
    <t xml:space="preserve">Medium</t>
  </si>
  <si>
    <t xml:space="preserve">This is what makes Pen Testing a longer timeline than the sandbox. Sequence the UI design first, wire it to the API last.</t>
  </si>
  <si>
    <t xml:space="preserve">P8</t>
  </si>
  <si>
    <t xml:space="preserve">Dec</t>
  </si>
  <si>
    <t xml:space="preserve">Freeze the thin-slice design, launch the testing POC, start the build</t>
  </si>
  <si>
    <t xml:space="preserve">December exit. The POC runs its exploits in the exploitation sandbox (see that tracker).</t>
  </si>
  <si>
    <t xml:space="preserve">P9</t>
  </si>
  <si>
    <t xml:space="preserve">Program</t>
  </si>
  <si>
    <t xml:space="preserve">Give Product the pen-testing Q4 plan (one-pager)</t>
  </si>
  <si>
    <t xml:space="preserve">Answers the 'what's your Q4 plan?' ask for this track.</t>
  </si>
  <si>
    <t xml:space="preserve">P10</t>
  </si>
  <si>
    <t xml:space="preserve">Align with Product on naming the overall initiative</t>
  </si>
  <si>
    <t xml:space="preserve">Lead, Product</t>
  </si>
  <si>
    <t xml:space="preserve">Low</t>
  </si>
  <si>
    <t xml:space="preserve">Give Product clean language for the umbrella over both tracks (sandbox + pen testing) so the naming stops wobbling.</t>
  </si>
  <si>
    <t xml:space="preserve">P11</t>
  </si>
  <si>
    <t xml:space="preserve">Ongoing</t>
  </si>
  <si>
    <t xml:space="preserve">Weekly status update rhythm (pen testing)</t>
  </si>
  <si>
    <t xml:space="preserve">Keep stakeholders aligned and momentum visible.</t>
  </si>
  <si>
    <t xml:space="preserve">Milestones &amp; Gates</t>
  </si>
  <si>
    <t xml:space="preserve">The dates that matter and the bar each one has to clear.</t>
  </si>
  <si>
    <t xml:space="preserve">Milestone</t>
  </si>
  <si>
    <t xml:space="preserve">Target</t>
  </si>
  <si>
    <t xml:space="preserve">Exit criteria (what 'done' means)</t>
  </si>
  <si>
    <t xml:space="preserve">M1</t>
  </si>
  <si>
    <t xml:space="preserve">Pen-testing Q4 plan delivered to Product</t>
  </si>
  <si>
    <t xml:space="preserve">One-pager shared; Product aligned on the phased plan (design + thin-slice POC, not full product).</t>
  </si>
  <si>
    <t xml:space="preserve">M2</t>
  </si>
  <si>
    <t xml:space="preserve">Newcomers onboarded via the design docs</t>
  </si>
  <si>
    <t xml:space="preserve">Principal + Architect self-serving from the written design; Lead's maker-time reclaimed.</t>
  </si>
  <si>
    <t xml:space="preserve">M3</t>
  </si>
  <si>
    <t xml:space="preserve">CyberOps requirements gathered</t>
  </si>
  <si>
    <t xml:space="preserve">Testing-track requirements captured from CyberOps.</t>
  </si>
  <si>
    <t xml:space="preserve">M4</t>
  </si>
  <si>
    <t xml:space="preserve">Full testing design formulated</t>
  </si>
  <si>
    <t xml:space="preserve">Upstream-in, reporting-out, and all captured requirements pulled into one coherent design.</t>
  </si>
  <si>
    <t xml:space="preserve">M5</t>
  </si>
  <si>
    <t xml:space="preserve">Thin-slice + UI design done</t>
  </si>
  <si>
    <t xml:space="preserve">First build slice designed; UI/UX designed; the rest parked as roadmap.</t>
  </si>
  <si>
    <t xml:space="preserve">M6</t>
  </si>
  <si>
    <t xml:space="preserve">Q4 close — freeze + build start</t>
  </si>
  <si>
    <t xml:space="preserve">Thin slice frozen, testing POC up, build started (exploits running in the sandbox).</t>
  </si>
  <si>
    <t xml:space="preserve">Risks &amp; Dependencies</t>
  </si>
  <si>
    <t xml:space="preserve">The handful of things most likely to knock this track off course — and what to do.</t>
  </si>
  <si>
    <t xml:space="preserve">Item</t>
  </si>
  <si>
    <t xml:space="preserve">Type</t>
  </si>
  <si>
    <t xml:space="preserve">Impact</t>
  </si>
  <si>
    <t xml:space="preserve">Mitigation / action</t>
  </si>
  <si>
    <t xml:space="preserve">Owner</t>
  </si>
  <si>
    <t xml:space="preserve">R1</t>
  </si>
  <si>
    <t xml:space="preserve">Over-scoping the full design into 8 weeks while the sandbox POC also runs</t>
  </si>
  <si>
    <t xml:space="preserve">Risk</t>
  </si>
  <si>
    <t xml:space="preserve">Freeze only the thin first slice (P6); keep the rest as roadmap. Design sprint one deeply, sketch the rest.</t>
  </si>
  <si>
    <t xml:space="preserve">Open</t>
  </si>
  <si>
    <t xml:space="preserve">R2</t>
  </si>
  <si>
    <t xml:space="preserve">CyberOps requirements arrive too late to shape the design</t>
  </si>
  <si>
    <t xml:space="preserve">Dependency</t>
  </si>
  <si>
    <t xml:space="preserve">Start requirement gathering day 1 (P2); don't wait for the sandbox effort to finish.</t>
  </si>
  <si>
    <t xml:space="preserve">R3</t>
  </si>
  <si>
    <t xml:space="preserve">Newcomers slow the Lead by extracting the design live</t>
  </si>
  <si>
    <t xml:space="preserve">Onboard via the existing docs (P3); reserve maker-time for the design, not live storytelling.</t>
  </si>
  <si>
    <t xml:space="preserve">R4</t>
  </si>
  <si>
    <t xml:space="preserve">This track's POC depends on the exploitation sandbox being ready</t>
  </si>
  <si>
    <t xml:space="preserve">Track the sandbox's Dec readiness (other tracker); keep the thin slice small enough to run on the sandbox's first working path.</t>
  </si>
  <si>
    <t xml:space="preserve">R5</t>
  </si>
  <si>
    <t xml:space="preserve">The console/UI layer gets absorbed by another org</t>
  </si>
  <si>
    <t xml:space="preserve">Keep the UI sequenced as this track's own layer (P7); frame the sandbox as infrastructure vs the console/workflow as this track's. Don't surface UI ownership proactively.</t>
  </si>
  <si>
    <t xml:space="preserve">R6</t>
  </si>
  <si>
    <t xml:space="preserve">Upstream / Foundation hasn't built their side yet</t>
  </si>
  <si>
    <t xml:space="preserve">Keep moving independently; define the upstream request contract (P4) so they build to yours later.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</si>
</sst>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mmm\ 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ont>
        <name val="Arial"/>
        <charset val="1"/>
        <family val="0"/>
        <color rgb="FF0B6623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B662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8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8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69.7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69.7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69.7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30" hidden="false" customHeight="true" outlineLevel="0" collapsed="false">
      <c r="A8" s="6" t="s">
        <v>9</v>
      </c>
      <c r="B8" s="6"/>
      <c r="C8" s="6"/>
      <c r="D8" s="6"/>
    </row>
    <row r="10" customFormat="false" ht="15" hidden="false" customHeight="false" outlineLevel="0" collapsed="false">
      <c r="A10" s="3" t="s">
        <v>10</v>
      </c>
    </row>
    <row r="11" customFormat="false" ht="21.75" hidden="false" customHeight="true" outlineLevel="0" collapsed="false">
      <c r="A11" s="7" t="s">
        <v>11</v>
      </c>
      <c r="B11" s="7" t="s">
        <v>12</v>
      </c>
    </row>
    <row r="12" customFormat="false" ht="15" hidden="false" customHeight="false" outlineLevel="0" collapsed="false">
      <c r="A12" s="8" t="s">
        <v>13</v>
      </c>
      <c r="B12" s="9" t="n">
        <f aca="false">COUNTA(Tasks!$A$5:$A$15)</f>
        <v>11</v>
      </c>
    </row>
    <row r="13" customFormat="false" ht="15" hidden="false" customHeight="false" outlineLevel="0" collapsed="false">
      <c r="A13" s="8" t="s">
        <v>14</v>
      </c>
      <c r="B13" s="9" t="n">
        <f aca="false">COUNTIF(Tasks!$I$5:$I$15,"Done")</f>
        <v>0</v>
      </c>
    </row>
    <row r="14" customFormat="false" ht="15" hidden="false" customHeight="false" outlineLevel="0" collapsed="false">
      <c r="A14" s="8" t="s">
        <v>15</v>
      </c>
      <c r="B14" s="9" t="n">
        <f aca="false">COUNTIF(Tasks!$I$5:$I$15,"In Progress")</f>
        <v>0</v>
      </c>
    </row>
    <row r="15" customFormat="false" ht="15" hidden="false" customHeight="false" outlineLevel="0" collapsed="false">
      <c r="A15" s="8" t="s">
        <v>16</v>
      </c>
      <c r="B15" s="9" t="n">
        <f aca="false">COUNTIF(Tasks!$I$5:$I$15,"Blocked")</f>
        <v>0</v>
      </c>
    </row>
    <row r="16" customFormat="false" ht="15" hidden="false" customHeight="false" outlineLevel="0" collapsed="false">
      <c r="A16" s="8" t="s">
        <v>17</v>
      </c>
      <c r="B16" s="9" t="n">
        <f aca="false">COUNTIF(Tasks!$I$5:$I$15,"Not Started")</f>
        <v>11</v>
      </c>
    </row>
    <row r="17" customFormat="false" ht="15" hidden="false" customHeight="false" outlineLevel="0" collapsed="false">
      <c r="A17" s="8" t="s">
        <v>18</v>
      </c>
      <c r="B17" s="10" t="n">
        <f aca="false">IFERROR(COUNTIF(Tasks!$I$5:$I$15,"Done")/COUNTA(Tasks!$A$5:$A$15),0)</f>
        <v>0</v>
      </c>
    </row>
    <row r="19" customFormat="false" ht="15" hidden="false" customHeight="false" outlineLevel="0" collapsed="false">
      <c r="A19" s="3" t="s">
        <v>19</v>
      </c>
    </row>
    <row r="20" customFormat="false" ht="30" hidden="false" customHeight="true" outlineLevel="0" collapsed="false">
      <c r="A20" s="5" t="s">
        <v>20</v>
      </c>
      <c r="B20" s="5"/>
      <c r="C20" s="5"/>
      <c r="D20" s="5"/>
    </row>
    <row r="21" customFormat="false" ht="30" hidden="false" customHeight="true" outlineLevel="0" collapsed="false">
      <c r="A21" s="5" t="s">
        <v>21</v>
      </c>
      <c r="B21" s="5"/>
      <c r="C21" s="5"/>
      <c r="D21" s="5"/>
    </row>
    <row r="22" customFormat="false" ht="30" hidden="false" customHeight="true" outlineLevel="0" collapsed="false">
      <c r="A22" s="5" t="s">
        <v>22</v>
      </c>
      <c r="B22" s="5"/>
      <c r="C22" s="5"/>
      <c r="D22" s="5"/>
    </row>
    <row r="23" customFormat="false" ht="30" hidden="false" customHeight="true" outlineLevel="0" collapsed="false">
      <c r="A23" s="5" t="s">
        <v>23</v>
      </c>
      <c r="B23" s="5"/>
      <c r="C23" s="5"/>
      <c r="D23" s="5"/>
    </row>
  </sheetData>
  <mergeCells count="10">
    <mergeCell ref="A1:D1"/>
    <mergeCell ref="A2:D2"/>
    <mergeCell ref="B5:D5"/>
    <mergeCell ref="B6:D6"/>
    <mergeCell ref="B7:D7"/>
    <mergeCell ref="A8:D8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54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</row>
    <row r="5" customFormat="false" ht="49.5" hidden="false" customHeight="true" outlineLevel="0" collapsed="false">
      <c r="A5" s="12" t="s">
        <v>37</v>
      </c>
      <c r="B5" s="12" t="s">
        <v>38</v>
      </c>
      <c r="C5" s="12" t="s">
        <v>39</v>
      </c>
      <c r="D5" s="13" t="s">
        <v>40</v>
      </c>
      <c r="E5" s="13" t="s">
        <v>41</v>
      </c>
      <c r="F5" s="14" t="n">
        <v>46296</v>
      </c>
      <c r="G5" s="14" t="n">
        <v>46354</v>
      </c>
      <c r="H5" s="12" t="s">
        <v>42</v>
      </c>
      <c r="I5" s="12" t="s">
        <v>17</v>
      </c>
      <c r="J5" s="12" t="s">
        <v>43</v>
      </c>
      <c r="K5" s="13" t="s">
        <v>44</v>
      </c>
    </row>
    <row r="6" customFormat="false" ht="49.5" hidden="false" customHeight="true" outlineLevel="0" collapsed="false">
      <c r="A6" s="15" t="s">
        <v>45</v>
      </c>
      <c r="B6" s="15" t="s">
        <v>38</v>
      </c>
      <c r="C6" s="15" t="s">
        <v>39</v>
      </c>
      <c r="D6" s="16" t="s">
        <v>46</v>
      </c>
      <c r="E6" s="16" t="s">
        <v>47</v>
      </c>
      <c r="F6" s="17" t="n">
        <v>46296</v>
      </c>
      <c r="G6" s="17" t="n">
        <v>46347</v>
      </c>
      <c r="H6" s="15" t="s">
        <v>42</v>
      </c>
      <c r="I6" s="15" t="s">
        <v>17</v>
      </c>
      <c r="J6" s="15" t="s">
        <v>43</v>
      </c>
      <c r="K6" s="16" t="s">
        <v>48</v>
      </c>
    </row>
    <row r="7" customFormat="false" ht="49.5" hidden="false" customHeight="true" outlineLevel="0" collapsed="false">
      <c r="A7" s="12" t="s">
        <v>49</v>
      </c>
      <c r="B7" s="12" t="s">
        <v>38</v>
      </c>
      <c r="C7" s="12" t="s">
        <v>50</v>
      </c>
      <c r="D7" s="13" t="s">
        <v>51</v>
      </c>
      <c r="E7" s="13" t="s">
        <v>52</v>
      </c>
      <c r="F7" s="14" t="n">
        <v>46296</v>
      </c>
      <c r="G7" s="14" t="n">
        <v>46312</v>
      </c>
      <c r="H7" s="12" t="s">
        <v>42</v>
      </c>
      <c r="I7" s="12" t="s">
        <v>17</v>
      </c>
      <c r="J7" s="12" t="s">
        <v>43</v>
      </c>
      <c r="K7" s="13" t="s">
        <v>53</v>
      </c>
    </row>
    <row r="8" customFormat="false" ht="49.5" hidden="false" customHeight="true" outlineLevel="0" collapsed="false">
      <c r="A8" s="15" t="s">
        <v>54</v>
      </c>
      <c r="B8" s="15" t="s">
        <v>38</v>
      </c>
      <c r="C8" s="15" t="s">
        <v>50</v>
      </c>
      <c r="D8" s="16" t="s">
        <v>55</v>
      </c>
      <c r="E8" s="16" t="s">
        <v>56</v>
      </c>
      <c r="F8" s="17" t="n">
        <v>46301</v>
      </c>
      <c r="G8" s="17" t="n">
        <v>46326</v>
      </c>
      <c r="H8" s="15" t="s">
        <v>42</v>
      </c>
      <c r="I8" s="15" t="s">
        <v>17</v>
      </c>
      <c r="J8" s="15" t="s">
        <v>37</v>
      </c>
      <c r="K8" s="16" t="s">
        <v>57</v>
      </c>
    </row>
    <row r="9" customFormat="false" ht="49.5" hidden="false" customHeight="true" outlineLevel="0" collapsed="false">
      <c r="A9" s="12" t="s">
        <v>58</v>
      </c>
      <c r="B9" s="12" t="s">
        <v>38</v>
      </c>
      <c r="C9" s="12" t="s">
        <v>39</v>
      </c>
      <c r="D9" s="13" t="s">
        <v>59</v>
      </c>
      <c r="E9" s="13" t="s">
        <v>56</v>
      </c>
      <c r="F9" s="14" t="n">
        <v>46315</v>
      </c>
      <c r="G9" s="14" t="n">
        <v>46354</v>
      </c>
      <c r="H9" s="12" t="s">
        <v>42</v>
      </c>
      <c r="I9" s="12" t="s">
        <v>17</v>
      </c>
      <c r="J9" s="12" t="s">
        <v>37</v>
      </c>
      <c r="K9" s="13" t="s">
        <v>60</v>
      </c>
    </row>
    <row r="10" customFormat="false" ht="49.5" hidden="false" customHeight="true" outlineLevel="0" collapsed="false">
      <c r="A10" s="15" t="s">
        <v>61</v>
      </c>
      <c r="B10" s="15" t="s">
        <v>38</v>
      </c>
      <c r="C10" s="15" t="s">
        <v>39</v>
      </c>
      <c r="D10" s="16" t="s">
        <v>62</v>
      </c>
      <c r="E10" s="16" t="s">
        <v>56</v>
      </c>
      <c r="F10" s="17" t="n">
        <v>46315</v>
      </c>
      <c r="G10" s="17" t="n">
        <v>46354</v>
      </c>
      <c r="H10" s="15" t="s">
        <v>42</v>
      </c>
      <c r="I10" s="15" t="s">
        <v>17</v>
      </c>
      <c r="J10" s="15" t="s">
        <v>37</v>
      </c>
      <c r="K10" s="16" t="s">
        <v>63</v>
      </c>
    </row>
    <row r="11" customFormat="false" ht="49.5" hidden="false" customHeight="true" outlineLevel="0" collapsed="false">
      <c r="A11" s="12" t="s">
        <v>64</v>
      </c>
      <c r="B11" s="12" t="s">
        <v>38</v>
      </c>
      <c r="C11" s="12" t="s">
        <v>39</v>
      </c>
      <c r="D11" s="13" t="s">
        <v>65</v>
      </c>
      <c r="E11" s="13" t="s">
        <v>56</v>
      </c>
      <c r="F11" s="14" t="n">
        <v>46315</v>
      </c>
      <c r="G11" s="14" t="n">
        <v>46354</v>
      </c>
      <c r="H11" s="12" t="s">
        <v>66</v>
      </c>
      <c r="I11" s="12" t="s">
        <v>17</v>
      </c>
      <c r="J11" s="12" t="s">
        <v>37</v>
      </c>
      <c r="K11" s="13" t="s">
        <v>67</v>
      </c>
    </row>
    <row r="12" customFormat="false" ht="49.5" hidden="false" customHeight="true" outlineLevel="0" collapsed="false">
      <c r="A12" s="15" t="s">
        <v>68</v>
      </c>
      <c r="B12" s="15" t="s">
        <v>38</v>
      </c>
      <c r="C12" s="15" t="s">
        <v>69</v>
      </c>
      <c r="D12" s="16" t="s">
        <v>70</v>
      </c>
      <c r="E12" s="16" t="s">
        <v>56</v>
      </c>
      <c r="F12" s="17" t="n">
        <v>46357</v>
      </c>
      <c r="G12" s="17" t="n">
        <v>46375</v>
      </c>
      <c r="H12" s="15" t="s">
        <v>42</v>
      </c>
      <c r="I12" s="15" t="s">
        <v>17</v>
      </c>
      <c r="J12" s="15" t="s">
        <v>61</v>
      </c>
      <c r="K12" s="16" t="s">
        <v>71</v>
      </c>
    </row>
    <row r="13" customFormat="false" ht="49.5" hidden="false" customHeight="true" outlineLevel="0" collapsed="false">
      <c r="A13" s="12" t="s">
        <v>72</v>
      </c>
      <c r="B13" s="12" t="s">
        <v>73</v>
      </c>
      <c r="C13" s="12" t="s">
        <v>50</v>
      </c>
      <c r="D13" s="13" t="s">
        <v>74</v>
      </c>
      <c r="E13" s="13" t="s">
        <v>52</v>
      </c>
      <c r="F13" s="14" t="n">
        <v>46296</v>
      </c>
      <c r="G13" s="14" t="n">
        <v>46302</v>
      </c>
      <c r="H13" s="12" t="s">
        <v>42</v>
      </c>
      <c r="I13" s="12" t="s">
        <v>17</v>
      </c>
      <c r="J13" s="12" t="s">
        <v>43</v>
      </c>
      <c r="K13" s="13" t="s">
        <v>75</v>
      </c>
    </row>
    <row r="14" customFormat="false" ht="49.5" hidden="false" customHeight="true" outlineLevel="0" collapsed="false">
      <c r="A14" s="15" t="s">
        <v>76</v>
      </c>
      <c r="B14" s="15" t="s">
        <v>73</v>
      </c>
      <c r="C14" s="15" t="s">
        <v>50</v>
      </c>
      <c r="D14" s="16" t="s">
        <v>77</v>
      </c>
      <c r="E14" s="16" t="s">
        <v>78</v>
      </c>
      <c r="F14" s="17" t="n">
        <v>46296</v>
      </c>
      <c r="G14" s="17" t="n">
        <v>46312</v>
      </c>
      <c r="H14" s="15" t="s">
        <v>79</v>
      </c>
      <c r="I14" s="15" t="s">
        <v>17</v>
      </c>
      <c r="J14" s="15" t="s">
        <v>43</v>
      </c>
      <c r="K14" s="16" t="s">
        <v>80</v>
      </c>
    </row>
    <row r="15" customFormat="false" ht="49.5" hidden="false" customHeight="true" outlineLevel="0" collapsed="false">
      <c r="A15" s="12" t="s">
        <v>81</v>
      </c>
      <c r="B15" s="12" t="s">
        <v>73</v>
      </c>
      <c r="C15" s="12" t="s">
        <v>82</v>
      </c>
      <c r="D15" s="13" t="s">
        <v>83</v>
      </c>
      <c r="E15" s="13" t="s">
        <v>52</v>
      </c>
      <c r="F15" s="14" t="n">
        <v>46296</v>
      </c>
      <c r="G15" s="14" t="n">
        <v>46375</v>
      </c>
      <c r="H15" s="12" t="s">
        <v>66</v>
      </c>
      <c r="I15" s="12" t="s">
        <v>17</v>
      </c>
      <c r="J15" s="12" t="s">
        <v>43</v>
      </c>
      <c r="K15" s="13" t="s">
        <v>84</v>
      </c>
    </row>
  </sheetData>
  <autoFilter ref="A4:K15"/>
  <mergeCells count="2">
    <mergeCell ref="A1:K1"/>
    <mergeCell ref="A2:K2"/>
  </mergeCells>
  <conditionalFormatting sqref="I5:I55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Started"</formula>
    </cfRule>
  </conditionalFormatting>
  <dataValidations count="2">
    <dataValidation allowBlank="true" errorStyle="stop" operator="between" showDropDown="false" showErrorMessage="false" showInputMessage="false" sqref="I5:I55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H5:H55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64"/>
    <col collapsed="false" customWidth="true" hidden="false" outlineLevel="0" max="5" min="5" style="0" width="13"/>
  </cols>
  <sheetData>
    <row r="1" customFormat="false" ht="27.75" hidden="false" customHeight="true" outlineLevel="0" collapsed="false">
      <c r="A1" s="1" t="s">
        <v>85</v>
      </c>
      <c r="B1" s="1"/>
      <c r="C1" s="1"/>
      <c r="D1" s="1"/>
      <c r="E1" s="1"/>
    </row>
    <row r="2" customFormat="false" ht="18" hidden="false" customHeight="true" outlineLevel="0" collapsed="false">
      <c r="A2" s="2" t="s">
        <v>86</v>
      </c>
      <c r="B2" s="2"/>
      <c r="C2" s="2"/>
      <c r="D2" s="2"/>
      <c r="E2" s="2"/>
    </row>
    <row r="4" customFormat="false" ht="25.5" hidden="false" customHeight="true" outlineLevel="0" collapsed="false">
      <c r="A4" s="11" t="s">
        <v>26</v>
      </c>
      <c r="B4" s="11" t="s">
        <v>87</v>
      </c>
      <c r="C4" s="11" t="s">
        <v>88</v>
      </c>
      <c r="D4" s="11" t="s">
        <v>89</v>
      </c>
      <c r="E4" s="11" t="s">
        <v>34</v>
      </c>
    </row>
    <row r="5" customFormat="false" ht="43.5" hidden="false" customHeight="true" outlineLevel="0" collapsed="false">
      <c r="A5" s="12" t="s">
        <v>90</v>
      </c>
      <c r="B5" s="13" t="s">
        <v>91</v>
      </c>
      <c r="C5" s="14" t="n">
        <v>46302</v>
      </c>
      <c r="D5" s="13" t="s">
        <v>92</v>
      </c>
      <c r="E5" s="12" t="s">
        <v>17</v>
      </c>
    </row>
    <row r="6" customFormat="false" ht="43.5" hidden="false" customHeight="true" outlineLevel="0" collapsed="false">
      <c r="A6" s="15" t="s">
        <v>93</v>
      </c>
      <c r="B6" s="16" t="s">
        <v>94</v>
      </c>
      <c r="C6" s="17" t="n">
        <v>46312</v>
      </c>
      <c r="D6" s="16" t="s">
        <v>95</v>
      </c>
      <c r="E6" s="15" t="s">
        <v>17</v>
      </c>
    </row>
    <row r="7" customFormat="false" ht="43.5" hidden="false" customHeight="true" outlineLevel="0" collapsed="false">
      <c r="A7" s="12" t="s">
        <v>96</v>
      </c>
      <c r="B7" s="13" t="s">
        <v>97</v>
      </c>
      <c r="C7" s="14" t="n">
        <v>46347</v>
      </c>
      <c r="D7" s="13" t="s">
        <v>98</v>
      </c>
      <c r="E7" s="12" t="s">
        <v>17</v>
      </c>
    </row>
    <row r="8" customFormat="false" ht="43.5" hidden="false" customHeight="true" outlineLevel="0" collapsed="false">
      <c r="A8" s="15" t="s">
        <v>99</v>
      </c>
      <c r="B8" s="16" t="s">
        <v>100</v>
      </c>
      <c r="C8" s="17" t="n">
        <v>46354</v>
      </c>
      <c r="D8" s="16" t="s">
        <v>101</v>
      </c>
      <c r="E8" s="15" t="s">
        <v>17</v>
      </c>
    </row>
    <row r="9" customFormat="false" ht="43.5" hidden="false" customHeight="true" outlineLevel="0" collapsed="false">
      <c r="A9" s="12" t="s">
        <v>102</v>
      </c>
      <c r="B9" s="13" t="s">
        <v>103</v>
      </c>
      <c r="C9" s="14" t="n">
        <v>46354</v>
      </c>
      <c r="D9" s="13" t="s">
        <v>104</v>
      </c>
      <c r="E9" s="12" t="s">
        <v>17</v>
      </c>
    </row>
    <row r="10" customFormat="false" ht="43.5" hidden="false" customHeight="true" outlineLevel="0" collapsed="false">
      <c r="A10" s="15" t="s">
        <v>105</v>
      </c>
      <c r="B10" s="16" t="s">
        <v>106</v>
      </c>
      <c r="C10" s="17" t="n">
        <v>46375</v>
      </c>
      <c r="D10" s="16" t="s">
        <v>107</v>
      </c>
      <c r="E10" s="15" t="s">
        <v>17</v>
      </c>
    </row>
  </sheetData>
  <mergeCells count="2">
    <mergeCell ref="A1:E1"/>
    <mergeCell ref="A2:E2"/>
  </mergeCells>
  <conditionalFormatting sqref="E5:E30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Started"</formula>
    </cfRule>
  </conditionalFormatting>
  <dataValidations count="1">
    <dataValidation allowBlank="true" errorStyle="stop" operator="between" showDropDown="false" showErrorMessage="false" showInputMessage="false" sqref="E5:E3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109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11" t="s">
        <v>26</v>
      </c>
      <c r="B4" s="11" t="s">
        <v>110</v>
      </c>
      <c r="C4" s="11" t="s">
        <v>111</v>
      </c>
      <c r="D4" s="11" t="s">
        <v>112</v>
      </c>
      <c r="E4" s="11" t="s">
        <v>113</v>
      </c>
      <c r="F4" s="11" t="s">
        <v>114</v>
      </c>
      <c r="G4" s="11" t="s">
        <v>34</v>
      </c>
    </row>
    <row r="5" customFormat="false" ht="51.75" hidden="false" customHeight="true" outlineLevel="0" collapsed="false">
      <c r="A5" s="12" t="s">
        <v>115</v>
      </c>
      <c r="B5" s="13" t="s">
        <v>116</v>
      </c>
      <c r="C5" s="12" t="s">
        <v>117</v>
      </c>
      <c r="D5" s="18" t="s">
        <v>42</v>
      </c>
      <c r="E5" s="13" t="s">
        <v>118</v>
      </c>
      <c r="F5" s="12" t="s">
        <v>52</v>
      </c>
      <c r="G5" s="12" t="s">
        <v>119</v>
      </c>
    </row>
    <row r="6" customFormat="false" ht="51.75" hidden="false" customHeight="true" outlineLevel="0" collapsed="false">
      <c r="A6" s="15" t="s">
        <v>120</v>
      </c>
      <c r="B6" s="16" t="s">
        <v>121</v>
      </c>
      <c r="C6" s="15" t="s">
        <v>122</v>
      </c>
      <c r="D6" s="18" t="s">
        <v>42</v>
      </c>
      <c r="E6" s="16" t="s">
        <v>123</v>
      </c>
      <c r="F6" s="15" t="s">
        <v>47</v>
      </c>
      <c r="G6" s="15" t="s">
        <v>119</v>
      </c>
    </row>
    <row r="7" customFormat="false" ht="51.75" hidden="false" customHeight="true" outlineLevel="0" collapsed="false">
      <c r="A7" s="12" t="s">
        <v>124</v>
      </c>
      <c r="B7" s="13" t="s">
        <v>125</v>
      </c>
      <c r="C7" s="12" t="s">
        <v>117</v>
      </c>
      <c r="D7" s="19" t="s">
        <v>66</v>
      </c>
      <c r="E7" s="13" t="s">
        <v>126</v>
      </c>
      <c r="F7" s="12" t="s">
        <v>52</v>
      </c>
      <c r="G7" s="12" t="s">
        <v>119</v>
      </c>
    </row>
    <row r="8" customFormat="false" ht="51.75" hidden="false" customHeight="true" outlineLevel="0" collapsed="false">
      <c r="A8" s="15" t="s">
        <v>127</v>
      </c>
      <c r="B8" s="16" t="s">
        <v>128</v>
      </c>
      <c r="C8" s="15" t="s">
        <v>122</v>
      </c>
      <c r="D8" s="19" t="s">
        <v>66</v>
      </c>
      <c r="E8" s="16" t="s">
        <v>129</v>
      </c>
      <c r="F8" s="15" t="s">
        <v>52</v>
      </c>
      <c r="G8" s="15" t="s">
        <v>119</v>
      </c>
    </row>
    <row r="9" customFormat="false" ht="51.75" hidden="false" customHeight="true" outlineLevel="0" collapsed="false">
      <c r="A9" s="12" t="s">
        <v>130</v>
      </c>
      <c r="B9" s="13" t="s">
        <v>131</v>
      </c>
      <c r="C9" s="12" t="s">
        <v>117</v>
      </c>
      <c r="D9" s="19" t="s">
        <v>66</v>
      </c>
      <c r="E9" s="13" t="s">
        <v>132</v>
      </c>
      <c r="F9" s="12" t="s">
        <v>52</v>
      </c>
      <c r="G9" s="12" t="s">
        <v>119</v>
      </c>
    </row>
    <row r="10" customFormat="false" ht="51.75" hidden="false" customHeight="true" outlineLevel="0" collapsed="false">
      <c r="A10" s="15" t="s">
        <v>133</v>
      </c>
      <c r="B10" s="16" t="s">
        <v>134</v>
      </c>
      <c r="C10" s="15" t="s">
        <v>122</v>
      </c>
      <c r="D10" s="19" t="s">
        <v>66</v>
      </c>
      <c r="E10" s="16" t="s">
        <v>135</v>
      </c>
      <c r="F10" s="15" t="s">
        <v>52</v>
      </c>
      <c r="G10" s="15" t="s">
        <v>119</v>
      </c>
    </row>
  </sheetData>
  <mergeCells count="2">
    <mergeCell ref="A1:G1"/>
    <mergeCell ref="A2:G2"/>
  </mergeCells>
  <conditionalFormatting sqref="G5:G30">
    <cfRule type="cellIs" priority="2" operator="equal" aboveAverage="0" equalAverage="0" bottom="0" percent="0" rank="0" text="" dxfId="5">
      <formula>"Closed"</formula>
    </cfRule>
    <cfRule type="cellIs" priority="3" operator="equal" aboveAverage="0" equalAverage="0" bottom="0" percent="0" rank="0" text="" dxfId="9">
      <formula>"Mitigated"</formula>
    </cfRule>
    <cfRule type="cellIs" priority="4" operator="equal" aboveAverage="0" equalAverage="0" bottom="0" percent="0" rank="0" text="" dxfId="6">
      <formula>"In Progress"</formula>
    </cfRule>
    <cfRule type="cellIs" priority="5" operator="equal" aboveAverage="0" equalAverage="0" bottom="0" percent="0" rank="0" text="" dxfId="8">
      <formula>"Open"</formula>
    </cfRule>
  </conditionalFormatting>
  <dataValidations count="2">
    <dataValidation allowBlank="true" errorStyle="stop" operator="between" showDropDown="false" showErrorMessage="false" showInputMessage="false" sqref="G5:G30" type="list">
      <formula1>"Open,In Progress,Mitigated,Closed"</formula1>
      <formula2>0</formula2>
    </dataValidation>
    <dataValidation allowBlank="true" errorStyle="stop" operator="between" showDropDown="false" showErrorMessage="false" showInputMessage="false" sqref="C5:C30" type="list">
      <formula1>"Blocker,Risk,Dependency"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2026-10-01T17:14:22Z</dcterms:created>
  <dc:creator>openpyxl</dc:creator>
  <dc:description/>
  <dc:language>en-US</dc:language>
  <cp:lastModifiedBy/>
  <dcterms:modified xsi:type="dcterms:W3CDTF">2026-10-01T17:14:23Z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