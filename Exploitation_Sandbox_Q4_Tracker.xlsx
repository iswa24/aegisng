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s" sheetId="2" state="visible" r:id="rId4"/>
    <sheet name="Milestones &amp; Gates" sheetId="3" state="visible" r:id="rId5"/>
    <sheet name="Risks &amp; Dependencies" sheetId="4" state="visible" r:id="rId6"/>
  </sheets>
  <definedNames>
    <definedName function="false" hidden="true" localSheetId="1" name="_xlnm._FilterDatabase" vbProcedure="false">Tasks!$A$4:$K$18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<sst xmlns="http://schemas.openxmlformats.org/spreadsheetml/2006/main" count="249" uniqueCount="153">
  <si>
    <t xml:space="preserve">Exploitation Sandbox (VM) — Q4 Tracker</t>
  </si>
  <si>
    <t xml:space="preserve">Harness → service POC, built in the isolated env. Downstream of CRAFT. Oct–Dec 2026.</t>
  </si>
  <si>
    <t xml:space="preserve">THE PLAN IN ONE LOOK</t>
  </si>
  <si>
    <t xml:space="preserve">The work</t>
  </si>
  <si>
    <t xml:space="preserve">Convert the existing agent harness into a callable service, built in the isolated environment where the harness already lives (fastest path — nothing new to stand up). This is the sandbox downstream of the CRAFT code scanner: it receives exploitation requests and runs the exploit code inside its own isolation boundary.</t>
  </si>
  <si>
    <t xml:space="preserve">Shape of Q4</t>
  </si>
  <si>
    <t xml:space="preserve">Oct: secure model access, stand up the POC, begin the harness→service conversion. Oct–Nov: one engineer builds and proves it; the operating-model + isolation design wraps in parallel. Dec: demo with real CyberOps requests, then freeze the design and start development.</t>
  </si>
  <si>
    <t xml:space="preserve">Staffing</t>
  </si>
  <si>
    <t xml:space="preserve">~1 engineer carries the conversion for two months. Lead drives the design + stakeholders and stays close enough to cover the engineer.</t>
  </si>
  <si>
    <t xml:space="preserve">↔  Paired with the Pen-Testing tracker. They're separate works, but the pen-testing pipeline runs its exploits inside THIS sandbox — so this one is the shared dependency.</t>
  </si>
  <si>
    <t xml:space="preserve">PROGRESS (live — updates as you set Status on the Tasks tab)</t>
  </si>
  <si>
    <t xml:space="preserve">Metric</t>
  </si>
  <si>
    <t xml:space="preserve">Count</t>
  </si>
  <si>
    <t xml:space="preserve">Total tasks</t>
  </si>
  <si>
    <t xml:space="preserve">Done</t>
  </si>
  <si>
    <t xml:space="preserve">In Progress</t>
  </si>
  <si>
    <t xml:space="preserve">Blocked</t>
  </si>
  <si>
    <t xml:space="preserve">Not Started</t>
  </si>
  <si>
    <t xml:space="preserve">% complete</t>
  </si>
  <si>
    <t xml:space="preserve">HOW TO USE</t>
  </si>
  <si>
    <t xml:space="preserve">•  Tabs: Tasks (weekly working list) · Milestones &amp; Gates (dates + what 'done' means) · Risks &amp; Dependencies.</t>
  </si>
  <si>
    <t xml:space="preserve">•  Set Status on Tasks with the dropdown — the Progress box recalculates automatically. Pick from the list, don't type.</t>
  </si>
  <si>
    <t xml:space="preserve">•  Owners are roles: Lead = you · Engineer = the POC engineer · Principal / Architect = senior design partners · Product · CyberOps · Sponsor (MD).</t>
  </si>
  <si>
    <t xml:space="preserve">•  Dates are a working draft — drag to your real calendar. The Oct / Oct–Nov / Dec phase buckets hold even if exact days move.</t>
  </si>
  <si>
    <t xml:space="preserve">Tasks</t>
  </si>
  <si>
    <t xml:space="preserve">The working list — update Status weekly.</t>
  </si>
  <si>
    <t xml:space="preserve">ID</t>
  </si>
  <si>
    <t xml:space="preserve">Track</t>
  </si>
  <si>
    <t xml:space="preserve">Phase</t>
  </si>
  <si>
    <t xml:space="preserve">Task</t>
  </si>
  <si>
    <t xml:space="preserve">Owner (role)</t>
  </si>
  <si>
    <t xml:space="preserve">Start</t>
  </si>
  <si>
    <t xml:space="preserve">Due</t>
  </si>
  <si>
    <t xml:space="preserve">Priority</t>
  </si>
  <si>
    <t xml:space="preserve">Status</t>
  </si>
  <si>
    <t xml:space="preserve">Depends On</t>
  </si>
  <si>
    <t xml:space="preserve">Notes</t>
  </si>
  <si>
    <t xml:space="preserve">S1</t>
  </si>
  <si>
    <t xml:space="preserve">Sandbox</t>
  </si>
  <si>
    <t xml:space="preserve">Oct</t>
  </si>
  <si>
    <t xml:space="preserve">Secure DEV model access (in-perimeter inference for the desired model)</t>
  </si>
  <si>
    <t xml:space="preserve">Lead</t>
  </si>
  <si>
    <t xml:space="preserve">Critical</t>
  </si>
  <si>
    <t xml:space="preserve">—</t>
  </si>
  <si>
    <t xml:space="preserve">Day-1 blocker. The harness assembles without it, but the model-driven loop can't run until this lands. Make it the very first task, before any code.</t>
  </si>
  <si>
    <t xml:space="preserve">S2</t>
  </si>
  <si>
    <t xml:space="preserve">Define POC success criteria (the acceptance test)</t>
  </si>
  <si>
    <t xml:space="preserve">High</t>
  </si>
  <si>
    <t xml:space="preserve">Write it now so December's freeze has something to measure: request in → classify → authorize() passes → exploit runs in sandbox → result returns → stays in bounds. Demo must also show it REFUSING an out-of-bounds action.</t>
  </si>
  <si>
    <t xml:space="preserve">S3</t>
  </si>
  <si>
    <t xml:space="preserve">Define the upstream exploitation-request contract (the interface)</t>
  </si>
  <si>
    <t xml:space="preserve">First-mover advantage: you set the request shape, so upstream (incl. Foundation) builds to your interface later instead of the reverse.</t>
  </si>
  <si>
    <t xml:space="preserve">S4</t>
  </si>
  <si>
    <t xml:space="preserve">Collect 2–3 representative exploitation-request samples from CyberOps</t>
  </si>
  <si>
    <t xml:space="preserve">Lead, CyberOps</t>
  </si>
  <si>
    <t xml:space="preserve">Needed to run the Dec demo against something real. Don't let December be the first time you see an actual request.</t>
  </si>
  <si>
    <t xml:space="preserve">S5</t>
  </si>
  <si>
    <t xml:space="preserve">Stand up the POC in the existing isolated environment</t>
  </si>
  <si>
    <t xml:space="preserve">Engineer</t>
  </si>
  <si>
    <t xml:space="preserve">Same env the harness already lives in = fastest path, no new setup to prove it out.</t>
  </si>
  <si>
    <t xml:space="preserve">S6</t>
  </si>
  <si>
    <t xml:space="preserve">Oct–Nov</t>
  </si>
  <si>
    <t xml:space="preserve">Convert harness → agentic service (swap the stubbed model seam for the real one; wire the desired model)</t>
  </si>
  <si>
    <t xml:space="preserve">S1, S5</t>
  </si>
  <si>
    <t xml:space="preserve">The core POC work. Replace the mock behind the existing interface with the live model — same seam, real dependency.</t>
  </si>
  <si>
    <t xml:space="preserve">S7</t>
  </si>
  <si>
    <t xml:space="preserve">Nov</t>
  </si>
  <si>
    <t xml:space="preserve">Run the model-driven loop end-to-end on one narrow slice</t>
  </si>
  <si>
    <t xml:space="preserve">One engine / one app / one vuln type. Local executor first, then the microVM boundary.</t>
  </si>
  <si>
    <t xml:space="preserve">S8</t>
  </si>
  <si>
    <t xml:space="preserve">Harden &amp; document the seams so a 2nd engineer could pick it up cold</t>
  </si>
  <si>
    <t xml:space="preserve">Medium</t>
  </si>
  <si>
    <t xml:space="preserve">Single-engineer risk hedge — keep the POC handoff-ready.</t>
  </si>
  <si>
    <t xml:space="preserve">S9</t>
  </si>
  <si>
    <t xml:space="preserve">Design the operating model + isolation boundary + Foundation→sandbox handoff</t>
  </si>
  <si>
    <t xml:space="preserve">Lead, team</t>
  </si>
  <si>
    <t xml:space="preserve">The design MD wants cracked: repo + version control + Dev/UAT/Prod for TWO populations (platform owns the stable baseline that runs by default; cyber-ops write ad-hoc exploit code, raise PRs, run concurrently on the same target, promote good code into baseline). Its own isolation boundary, operated separately from Foundation. Runs in PARALLEL with the build.</t>
  </si>
  <si>
    <t xml:space="preserve">S10</t>
  </si>
  <si>
    <t xml:space="preserve">Dec</t>
  </si>
  <si>
    <t xml:space="preserve">Demo: feed CyberOps' real requests; show it running AND refusing out-of-bounds</t>
  </si>
  <si>
    <t xml:space="preserve">Lead, Engineer</t>
  </si>
  <si>
    <t xml:space="preserve">S4, S7, S9</t>
  </si>
  <si>
    <t xml:space="preserve">The Q4 proof point. The 'it can't misbehave' moment is what sponsors need before greenlighting anything near prod.</t>
  </si>
  <si>
    <t xml:space="preserve">S11</t>
  </si>
  <si>
    <t xml:space="preserve">Go/No-Go gate → freeze sandbox design, start development</t>
  </si>
  <si>
    <t xml:space="preserve">Lead, Sponsor, Product</t>
  </si>
  <si>
    <t xml:space="preserve">The decision gate. The sandbox env then doubles as the build/test bed; migrate in-house later once trusted.</t>
  </si>
  <si>
    <t xml:space="preserve">S12</t>
  </si>
  <si>
    <t xml:space="preserve">Use the demo as the case for Q1 headcount (1 engineer → squad)</t>
  </si>
  <si>
    <t xml:space="preserve">Convert a win straight into people instead of losing momentum.</t>
  </si>
  <si>
    <t xml:space="preserve">S13</t>
  </si>
  <si>
    <t xml:space="preserve">Program</t>
  </si>
  <si>
    <t xml:space="preserve">Give Product the sandbox Q4 plan (one-pager)</t>
  </si>
  <si>
    <t xml:space="preserve">Answers the 'what's your Q4 plan?' ask for this track and shows you driving, not catching up.</t>
  </si>
  <si>
    <t xml:space="preserve">S14</t>
  </si>
  <si>
    <t xml:space="preserve">Ongoing</t>
  </si>
  <si>
    <t xml:space="preserve">Weekly status update rhythm (sandbox)</t>
  </si>
  <si>
    <t xml:space="preserve">Keep stakeholders aligned and momentum visible.</t>
  </si>
  <si>
    <t xml:space="preserve">Milestones &amp; Gates</t>
  </si>
  <si>
    <t xml:space="preserve">The dates that matter and the bar each one has to clear.</t>
  </si>
  <si>
    <t xml:space="preserve">Milestone</t>
  </si>
  <si>
    <t xml:space="preserve">Target</t>
  </si>
  <si>
    <t xml:space="preserve">Exit criteria (what 'done' means)</t>
  </si>
  <si>
    <t xml:space="preserve">M1</t>
  </si>
  <si>
    <t xml:space="preserve">Model access in hand (DEV)</t>
  </si>
  <si>
    <t xml:space="preserve">Desired model reachable from the isolated env; the harness can call it.</t>
  </si>
  <si>
    <t xml:space="preserve">M2</t>
  </si>
  <si>
    <t xml:space="preserve">Sandbox Q4 plan delivered to Product</t>
  </si>
  <si>
    <t xml:space="preserve">One-pager shared; Product aligned on the phased plan (design-proven-ready, not production).</t>
  </si>
  <si>
    <t xml:space="preserve">M3</t>
  </si>
  <si>
    <t xml:space="preserve">Request contract + samples locked</t>
  </si>
  <si>
    <t xml:space="preserve">Interface defined; 2–3 real CyberOps request samples in hand to test against.</t>
  </si>
  <si>
    <t xml:space="preserve">M4</t>
  </si>
  <si>
    <t xml:space="preserve">Harness converted to a service</t>
  </si>
  <si>
    <t xml:space="preserve">Live model wired behind the interface; the service is callable and runs the loop.</t>
  </si>
  <si>
    <t xml:space="preserve">M5</t>
  </si>
  <si>
    <t xml:space="preserve">Sandbox design complete</t>
  </si>
  <si>
    <t xml:space="preserve">Operating model (two populations), isolation boundary, and Foundation→sandbox handoff all designed.</t>
  </si>
  <si>
    <t xml:space="preserve">M6</t>
  </si>
  <si>
    <t xml:space="preserve">Sandbox POC demo</t>
  </si>
  <si>
    <t xml:space="preserve">Real requests run end-to-end in the sandbox AND an out-of-bounds action is shown being refused.</t>
  </si>
  <si>
    <t xml:space="preserve">M7</t>
  </si>
  <si>
    <t xml:space="preserve">Q4 close — Go/No-Go gate</t>
  </si>
  <si>
    <t xml:space="preserve">Decision made: freeze design + start development; Q1 headcount case put forward.</t>
  </si>
  <si>
    <t xml:space="preserve">Risks &amp; Dependencies</t>
  </si>
  <si>
    <t xml:space="preserve">The handful of things most likely to knock this track off course — and what to do.</t>
  </si>
  <si>
    <t xml:space="preserve">Item</t>
  </si>
  <si>
    <t xml:space="preserve">Type</t>
  </si>
  <si>
    <t xml:space="preserve">Impact</t>
  </si>
  <si>
    <t xml:space="preserve">Mitigation / action</t>
  </si>
  <si>
    <t xml:space="preserve">Owner</t>
  </si>
  <si>
    <t xml:space="preserve">R1</t>
  </si>
  <si>
    <t xml:space="preserve">Model access is the gating dependency for the whole POC</t>
  </si>
  <si>
    <t xml:space="preserve">Blocker</t>
  </si>
  <si>
    <t xml:space="preserve">Make it task #1 (S1); escalate early if provisioning is slow. Harness work proceeds in parallel, but the loop can't close without it.</t>
  </si>
  <si>
    <t xml:space="preserve">Open</t>
  </si>
  <si>
    <t xml:space="preserve">R2</t>
  </si>
  <si>
    <t xml:space="preserve">"It works" is undefined, so the Dec freeze has nothing firm to decide on</t>
  </si>
  <si>
    <t xml:space="preserve">Risk</t>
  </si>
  <si>
    <t xml:space="preserve">Write the acceptance test now (S2). Make the demo show BOTH a successful run and a refused out-of-bounds action.</t>
  </si>
  <si>
    <t xml:space="preserve">R3</t>
  </si>
  <si>
    <t xml:space="preserve">CyberOps request samples arrive too late to test against</t>
  </si>
  <si>
    <t xml:space="preserve">Dependency</t>
  </si>
  <si>
    <t xml:space="preserve">Pull 2–3 samples by end of Oct (S4). Don't let December be the first real request you see.</t>
  </si>
  <si>
    <t xml:space="preserve">R4</t>
  </si>
  <si>
    <t xml:space="preserve">One engineer for 2 months = single point of failure</t>
  </si>
  <si>
    <t xml:space="preserve">Keep seams documented and handoff-ready (S8); Lead stays close enough to cover a gap. Confirm the engineer already knows the harness/SDK, or budget ramp time.</t>
  </si>
  <si>
    <t xml:space="preserve">R5</t>
  </si>
  <si>
    <t xml:space="preserve">Isolation boundary not ready when the build needs it</t>
  </si>
  <si>
    <t xml:space="preserve">Sequence the isolation-boundary design early in S9; confirm the separate boundary can be stood up in the existing env.</t>
  </si>
  <si>
    <t xml:space="preserve">R6</t>
  </si>
  <si>
    <t xml:space="preserve">Upstream / Foundation hasn't built their side yet</t>
  </si>
  <si>
    <t xml:space="preserve">Keep moving independently; define the request interface (S3) so they build to yours later. Being first is leverage — use 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</si>
</sst>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mmm\ 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4F8"/>
        <bgColor rgb="FFFFFFFF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0B6623"/>
      </font>
      <fill>
        <patternFill>
          <bgColor rgb="FFC6EFCE"/>
        </patternFill>
      </fill>
    </dxf>
    <dxf>
      <fill>
        <patternFill>
          <bgColor rgb="FFBDD7E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B662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4F8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8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69.7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69.7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69.7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30" hidden="false" customHeight="true" outlineLevel="0" collapsed="false">
      <c r="A8" s="6" t="s">
        <v>9</v>
      </c>
      <c r="B8" s="6"/>
      <c r="C8" s="6"/>
      <c r="D8" s="6"/>
    </row>
    <row r="10" customFormat="false" ht="15" hidden="false" customHeight="false" outlineLevel="0" collapsed="false">
      <c r="A10" s="3" t="s">
        <v>10</v>
      </c>
    </row>
    <row r="11" customFormat="false" ht="21.75" hidden="false" customHeight="true" outlineLevel="0" collapsed="false">
      <c r="A11" s="7" t="s">
        <v>11</v>
      </c>
      <c r="B11" s="7" t="s">
        <v>12</v>
      </c>
    </row>
    <row r="12" customFormat="false" ht="15" hidden="false" customHeight="false" outlineLevel="0" collapsed="false">
      <c r="A12" s="8" t="s">
        <v>13</v>
      </c>
      <c r="B12" s="9" t="n">
        <f aca="false">COUNTA(Tasks!$A$5:$A$18)</f>
        <v>14</v>
      </c>
    </row>
    <row r="13" customFormat="false" ht="15" hidden="false" customHeight="false" outlineLevel="0" collapsed="false">
      <c r="A13" s="8" t="s">
        <v>14</v>
      </c>
      <c r="B13" s="9" t="n">
        <f aca="false">COUNTIF(Tasks!$I$5:$I$18,"Done")</f>
        <v>0</v>
      </c>
    </row>
    <row r="14" customFormat="false" ht="15" hidden="false" customHeight="false" outlineLevel="0" collapsed="false">
      <c r="A14" s="8" t="s">
        <v>15</v>
      </c>
      <c r="B14" s="9" t="n">
        <f aca="false">COUNTIF(Tasks!$I$5:$I$18,"In Progress")</f>
        <v>0</v>
      </c>
    </row>
    <row r="15" customFormat="false" ht="15" hidden="false" customHeight="false" outlineLevel="0" collapsed="false">
      <c r="A15" s="8" t="s">
        <v>16</v>
      </c>
      <c r="B15" s="9" t="n">
        <f aca="false">COUNTIF(Tasks!$I$5:$I$18,"Blocked")</f>
        <v>1</v>
      </c>
    </row>
    <row r="16" customFormat="false" ht="15" hidden="false" customHeight="false" outlineLevel="0" collapsed="false">
      <c r="A16" s="8" t="s">
        <v>17</v>
      </c>
      <c r="B16" s="9" t="n">
        <f aca="false">COUNTIF(Tasks!$I$5:$I$18,"Not Started")</f>
        <v>13</v>
      </c>
    </row>
    <row r="17" customFormat="false" ht="15" hidden="false" customHeight="false" outlineLevel="0" collapsed="false">
      <c r="A17" s="8" t="s">
        <v>18</v>
      </c>
      <c r="B17" s="10" t="n">
        <f aca="false">IFERROR(COUNTIF(Tasks!$I$5:$I$18,"Done")/COUNTA(Tasks!$A$5:$A$18),0)</f>
        <v>0</v>
      </c>
    </row>
    <row r="19" customFormat="false" ht="15" hidden="false" customHeight="false" outlineLevel="0" collapsed="false">
      <c r="A19" s="3" t="s">
        <v>19</v>
      </c>
    </row>
    <row r="20" customFormat="false" ht="30" hidden="false" customHeight="true" outlineLevel="0" collapsed="false">
      <c r="A20" s="5" t="s">
        <v>20</v>
      </c>
      <c r="B20" s="5"/>
      <c r="C20" s="5"/>
      <c r="D20" s="5"/>
    </row>
    <row r="21" customFormat="false" ht="30" hidden="false" customHeight="true" outlineLevel="0" collapsed="false">
      <c r="A21" s="5" t="s">
        <v>21</v>
      </c>
      <c r="B21" s="5"/>
      <c r="C21" s="5"/>
      <c r="D21" s="5"/>
    </row>
    <row r="22" customFormat="false" ht="30" hidden="false" customHeight="true" outlineLevel="0" collapsed="false">
      <c r="A22" s="5" t="s">
        <v>22</v>
      </c>
      <c r="B22" s="5"/>
      <c r="C22" s="5"/>
      <c r="D22" s="5"/>
    </row>
    <row r="23" customFormat="false" ht="30" hidden="false" customHeight="true" outlineLevel="0" collapsed="false">
      <c r="A23" s="5" t="s">
        <v>23</v>
      </c>
      <c r="B23" s="5"/>
      <c r="C23" s="5"/>
      <c r="D23" s="5"/>
    </row>
  </sheetData>
  <mergeCells count="10">
    <mergeCell ref="A1:D1"/>
    <mergeCell ref="A2:D2"/>
    <mergeCell ref="B5:D5"/>
    <mergeCell ref="B6:D6"/>
    <mergeCell ref="B7:D7"/>
    <mergeCell ref="A8:D8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54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</row>
    <row r="5" customFormat="false" ht="49.5" hidden="false" customHeight="true" outlineLevel="0" collapsed="false">
      <c r="A5" s="12" t="s">
        <v>37</v>
      </c>
      <c r="B5" s="12" t="s">
        <v>38</v>
      </c>
      <c r="C5" s="12" t="s">
        <v>39</v>
      </c>
      <c r="D5" s="13" t="s">
        <v>40</v>
      </c>
      <c r="E5" s="13" t="s">
        <v>41</v>
      </c>
      <c r="F5" s="14" t="n">
        <v>46296</v>
      </c>
      <c r="G5" s="14" t="n">
        <v>46302</v>
      </c>
      <c r="H5" s="12" t="s">
        <v>42</v>
      </c>
      <c r="I5" s="12" t="s">
        <v>16</v>
      </c>
      <c r="J5" s="12" t="s">
        <v>43</v>
      </c>
      <c r="K5" s="13" t="s">
        <v>44</v>
      </c>
    </row>
    <row r="6" customFormat="false" ht="49.5" hidden="false" customHeight="true" outlineLevel="0" collapsed="false">
      <c r="A6" s="15" t="s">
        <v>45</v>
      </c>
      <c r="B6" s="15" t="s">
        <v>38</v>
      </c>
      <c r="C6" s="15" t="s">
        <v>39</v>
      </c>
      <c r="D6" s="16" t="s">
        <v>46</v>
      </c>
      <c r="E6" s="16" t="s">
        <v>41</v>
      </c>
      <c r="F6" s="17" t="n">
        <v>46296</v>
      </c>
      <c r="G6" s="17" t="n">
        <v>46305</v>
      </c>
      <c r="H6" s="15" t="s">
        <v>47</v>
      </c>
      <c r="I6" s="15" t="s">
        <v>17</v>
      </c>
      <c r="J6" s="15" t="s">
        <v>43</v>
      </c>
      <c r="K6" s="16" t="s">
        <v>48</v>
      </c>
    </row>
    <row r="7" customFormat="false" ht="49.5" hidden="false" customHeight="true" outlineLevel="0" collapsed="false">
      <c r="A7" s="12" t="s">
        <v>49</v>
      </c>
      <c r="B7" s="12" t="s">
        <v>38</v>
      </c>
      <c r="C7" s="12" t="s">
        <v>39</v>
      </c>
      <c r="D7" s="13" t="s">
        <v>50</v>
      </c>
      <c r="E7" s="13" t="s">
        <v>41</v>
      </c>
      <c r="F7" s="14" t="n">
        <v>46301</v>
      </c>
      <c r="G7" s="14" t="n">
        <v>46312</v>
      </c>
      <c r="H7" s="12" t="s">
        <v>47</v>
      </c>
      <c r="I7" s="12" t="s">
        <v>17</v>
      </c>
      <c r="J7" s="12" t="s">
        <v>45</v>
      </c>
      <c r="K7" s="13" t="s">
        <v>51</v>
      </c>
    </row>
    <row r="8" customFormat="false" ht="49.5" hidden="false" customHeight="true" outlineLevel="0" collapsed="false">
      <c r="A8" s="15" t="s">
        <v>52</v>
      </c>
      <c r="B8" s="15" t="s">
        <v>38</v>
      </c>
      <c r="C8" s="15" t="s">
        <v>39</v>
      </c>
      <c r="D8" s="16" t="s">
        <v>53</v>
      </c>
      <c r="E8" s="16" t="s">
        <v>54</v>
      </c>
      <c r="F8" s="17" t="n">
        <v>46301</v>
      </c>
      <c r="G8" s="17" t="n">
        <v>46326</v>
      </c>
      <c r="H8" s="15" t="s">
        <v>47</v>
      </c>
      <c r="I8" s="15" t="s">
        <v>17</v>
      </c>
      <c r="J8" s="15" t="s">
        <v>49</v>
      </c>
      <c r="K8" s="16" t="s">
        <v>55</v>
      </c>
    </row>
    <row r="9" customFormat="false" ht="49.5" hidden="false" customHeight="true" outlineLevel="0" collapsed="false">
      <c r="A9" s="12" t="s">
        <v>56</v>
      </c>
      <c r="B9" s="12" t="s">
        <v>38</v>
      </c>
      <c r="C9" s="12" t="s">
        <v>39</v>
      </c>
      <c r="D9" s="13" t="s">
        <v>57</v>
      </c>
      <c r="E9" s="13" t="s">
        <v>58</v>
      </c>
      <c r="F9" s="14" t="n">
        <v>46303</v>
      </c>
      <c r="G9" s="14" t="n">
        <v>46312</v>
      </c>
      <c r="H9" s="12" t="s">
        <v>47</v>
      </c>
      <c r="I9" s="12" t="s">
        <v>17</v>
      </c>
      <c r="J9" s="12" t="s">
        <v>37</v>
      </c>
      <c r="K9" s="13" t="s">
        <v>59</v>
      </c>
    </row>
    <row r="10" customFormat="false" ht="49.5" hidden="false" customHeight="true" outlineLevel="0" collapsed="false">
      <c r="A10" s="15" t="s">
        <v>60</v>
      </c>
      <c r="B10" s="15" t="s">
        <v>38</v>
      </c>
      <c r="C10" s="15" t="s">
        <v>61</v>
      </c>
      <c r="D10" s="16" t="s">
        <v>62</v>
      </c>
      <c r="E10" s="16" t="s">
        <v>58</v>
      </c>
      <c r="F10" s="17" t="n">
        <v>46310</v>
      </c>
      <c r="G10" s="17" t="n">
        <v>46347</v>
      </c>
      <c r="H10" s="15" t="s">
        <v>42</v>
      </c>
      <c r="I10" s="15" t="s">
        <v>17</v>
      </c>
      <c r="J10" s="15" t="s">
        <v>63</v>
      </c>
      <c r="K10" s="16" t="s">
        <v>64</v>
      </c>
    </row>
    <row r="11" customFormat="false" ht="49.5" hidden="false" customHeight="true" outlineLevel="0" collapsed="false">
      <c r="A11" s="12" t="s">
        <v>65</v>
      </c>
      <c r="B11" s="12" t="s">
        <v>38</v>
      </c>
      <c r="C11" s="12" t="s">
        <v>66</v>
      </c>
      <c r="D11" s="13" t="s">
        <v>67</v>
      </c>
      <c r="E11" s="13" t="s">
        <v>58</v>
      </c>
      <c r="F11" s="14" t="n">
        <v>46336</v>
      </c>
      <c r="G11" s="14" t="n">
        <v>46354</v>
      </c>
      <c r="H11" s="12" t="s">
        <v>47</v>
      </c>
      <c r="I11" s="12" t="s">
        <v>17</v>
      </c>
      <c r="J11" s="12" t="s">
        <v>60</v>
      </c>
      <c r="K11" s="13" t="s">
        <v>68</v>
      </c>
    </row>
    <row r="12" customFormat="false" ht="49.5" hidden="false" customHeight="true" outlineLevel="0" collapsed="false">
      <c r="A12" s="15" t="s">
        <v>69</v>
      </c>
      <c r="B12" s="15" t="s">
        <v>38</v>
      </c>
      <c r="C12" s="15" t="s">
        <v>66</v>
      </c>
      <c r="D12" s="16" t="s">
        <v>70</v>
      </c>
      <c r="E12" s="16" t="s">
        <v>58</v>
      </c>
      <c r="F12" s="17" t="n">
        <v>46343</v>
      </c>
      <c r="G12" s="17" t="n">
        <v>46354</v>
      </c>
      <c r="H12" s="15" t="s">
        <v>71</v>
      </c>
      <c r="I12" s="15" t="s">
        <v>17</v>
      </c>
      <c r="J12" s="15" t="s">
        <v>60</v>
      </c>
      <c r="K12" s="16" t="s">
        <v>72</v>
      </c>
    </row>
    <row r="13" customFormat="false" ht="49.5" hidden="false" customHeight="true" outlineLevel="0" collapsed="false">
      <c r="A13" s="12" t="s">
        <v>73</v>
      </c>
      <c r="B13" s="12" t="s">
        <v>38</v>
      </c>
      <c r="C13" s="12" t="s">
        <v>61</v>
      </c>
      <c r="D13" s="13" t="s">
        <v>74</v>
      </c>
      <c r="E13" s="13" t="s">
        <v>75</v>
      </c>
      <c r="F13" s="14" t="n">
        <v>46296</v>
      </c>
      <c r="G13" s="14" t="n">
        <v>46354</v>
      </c>
      <c r="H13" s="12" t="s">
        <v>47</v>
      </c>
      <c r="I13" s="12" t="s">
        <v>17</v>
      </c>
      <c r="J13" s="12" t="s">
        <v>43</v>
      </c>
      <c r="K13" s="13" t="s">
        <v>76</v>
      </c>
    </row>
    <row r="14" customFormat="false" ht="49.5" hidden="false" customHeight="true" outlineLevel="0" collapsed="false">
      <c r="A14" s="15" t="s">
        <v>77</v>
      </c>
      <c r="B14" s="15" t="s">
        <v>38</v>
      </c>
      <c r="C14" s="15" t="s">
        <v>78</v>
      </c>
      <c r="D14" s="16" t="s">
        <v>79</v>
      </c>
      <c r="E14" s="16" t="s">
        <v>80</v>
      </c>
      <c r="F14" s="17" t="n">
        <v>46357</v>
      </c>
      <c r="G14" s="17" t="n">
        <v>46368</v>
      </c>
      <c r="H14" s="15" t="s">
        <v>42</v>
      </c>
      <c r="I14" s="15" t="s">
        <v>17</v>
      </c>
      <c r="J14" s="15" t="s">
        <v>81</v>
      </c>
      <c r="K14" s="16" t="s">
        <v>82</v>
      </c>
    </row>
    <row r="15" customFormat="false" ht="49.5" hidden="false" customHeight="true" outlineLevel="0" collapsed="false">
      <c r="A15" s="12" t="s">
        <v>83</v>
      </c>
      <c r="B15" s="12" t="s">
        <v>38</v>
      </c>
      <c r="C15" s="12" t="s">
        <v>78</v>
      </c>
      <c r="D15" s="13" t="s">
        <v>84</v>
      </c>
      <c r="E15" s="13" t="s">
        <v>85</v>
      </c>
      <c r="F15" s="14" t="n">
        <v>46368</v>
      </c>
      <c r="G15" s="14" t="n">
        <v>46375</v>
      </c>
      <c r="H15" s="12" t="s">
        <v>42</v>
      </c>
      <c r="I15" s="12" t="s">
        <v>17</v>
      </c>
      <c r="J15" s="12" t="s">
        <v>77</v>
      </c>
      <c r="K15" s="13" t="s">
        <v>86</v>
      </c>
    </row>
    <row r="16" customFormat="false" ht="49.5" hidden="false" customHeight="true" outlineLevel="0" collapsed="false">
      <c r="A16" s="15" t="s">
        <v>87</v>
      </c>
      <c r="B16" s="15" t="s">
        <v>38</v>
      </c>
      <c r="C16" s="15" t="s">
        <v>78</v>
      </c>
      <c r="D16" s="16" t="s">
        <v>88</v>
      </c>
      <c r="E16" s="16" t="s">
        <v>41</v>
      </c>
      <c r="F16" s="17" t="n">
        <v>46368</v>
      </c>
      <c r="G16" s="17" t="n">
        <v>46375</v>
      </c>
      <c r="H16" s="15" t="s">
        <v>71</v>
      </c>
      <c r="I16" s="15" t="s">
        <v>17</v>
      </c>
      <c r="J16" s="15" t="s">
        <v>77</v>
      </c>
      <c r="K16" s="16" t="s">
        <v>89</v>
      </c>
    </row>
    <row r="17" customFormat="false" ht="49.5" hidden="false" customHeight="true" outlineLevel="0" collapsed="false">
      <c r="A17" s="12" t="s">
        <v>90</v>
      </c>
      <c r="B17" s="12" t="s">
        <v>91</v>
      </c>
      <c r="C17" s="12" t="s">
        <v>39</v>
      </c>
      <c r="D17" s="13" t="s">
        <v>92</v>
      </c>
      <c r="E17" s="13" t="s">
        <v>41</v>
      </c>
      <c r="F17" s="14" t="n">
        <v>46296</v>
      </c>
      <c r="G17" s="14" t="n">
        <v>46302</v>
      </c>
      <c r="H17" s="12" t="s">
        <v>47</v>
      </c>
      <c r="I17" s="12" t="s">
        <v>17</v>
      </c>
      <c r="J17" s="12" t="s">
        <v>43</v>
      </c>
      <c r="K17" s="13" t="s">
        <v>93</v>
      </c>
    </row>
    <row r="18" customFormat="false" ht="49.5" hidden="false" customHeight="true" outlineLevel="0" collapsed="false">
      <c r="A18" s="15" t="s">
        <v>94</v>
      </c>
      <c r="B18" s="15" t="s">
        <v>91</v>
      </c>
      <c r="C18" s="15" t="s">
        <v>95</v>
      </c>
      <c r="D18" s="16" t="s">
        <v>96</v>
      </c>
      <c r="E18" s="16" t="s">
        <v>41</v>
      </c>
      <c r="F18" s="17" t="n">
        <v>46296</v>
      </c>
      <c r="G18" s="17" t="n">
        <v>46375</v>
      </c>
      <c r="H18" s="15" t="s">
        <v>71</v>
      </c>
      <c r="I18" s="15" t="s">
        <v>17</v>
      </c>
      <c r="J18" s="15" t="s">
        <v>43</v>
      </c>
      <c r="K18" s="16" t="s">
        <v>97</v>
      </c>
    </row>
  </sheetData>
  <autoFilter ref="A4:K18"/>
  <mergeCells count="2">
    <mergeCell ref="A1:K1"/>
    <mergeCell ref="A2:K2"/>
  </mergeCells>
  <conditionalFormatting sqref="I5:I58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Started"</formula>
    </cfRule>
  </conditionalFormatting>
  <dataValidations count="2">
    <dataValidation allowBlank="true" errorStyle="stop" operator="between" showDropDown="false" showErrorMessage="false" showInputMessage="false" sqref="I5:I58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H5:H58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64"/>
    <col collapsed="false" customWidth="true" hidden="false" outlineLevel="0" max="5" min="5" style="0" width="13"/>
  </cols>
  <sheetData>
    <row r="1" customFormat="false" ht="27.75" hidden="false" customHeight="true" outlineLevel="0" collapsed="false">
      <c r="A1" s="1" t="s">
        <v>98</v>
      </c>
      <c r="B1" s="1"/>
      <c r="C1" s="1"/>
      <c r="D1" s="1"/>
      <c r="E1" s="1"/>
    </row>
    <row r="2" customFormat="false" ht="18" hidden="false" customHeight="true" outlineLevel="0" collapsed="false">
      <c r="A2" s="2" t="s">
        <v>99</v>
      </c>
      <c r="B2" s="2"/>
      <c r="C2" s="2"/>
      <c r="D2" s="2"/>
      <c r="E2" s="2"/>
    </row>
    <row r="4" customFormat="false" ht="25.5" hidden="false" customHeight="true" outlineLevel="0" collapsed="false">
      <c r="A4" s="11" t="s">
        <v>26</v>
      </c>
      <c r="B4" s="11" t="s">
        <v>100</v>
      </c>
      <c r="C4" s="11" t="s">
        <v>101</v>
      </c>
      <c r="D4" s="11" t="s">
        <v>102</v>
      </c>
      <c r="E4" s="11" t="s">
        <v>34</v>
      </c>
    </row>
    <row r="5" customFormat="false" ht="43.5" hidden="false" customHeight="true" outlineLevel="0" collapsed="false">
      <c r="A5" s="12" t="s">
        <v>103</v>
      </c>
      <c r="B5" s="13" t="s">
        <v>104</v>
      </c>
      <c r="C5" s="14" t="n">
        <v>46302</v>
      </c>
      <c r="D5" s="13" t="s">
        <v>105</v>
      </c>
      <c r="E5" s="12" t="s">
        <v>17</v>
      </c>
    </row>
    <row r="6" customFormat="false" ht="43.5" hidden="false" customHeight="true" outlineLevel="0" collapsed="false">
      <c r="A6" s="15" t="s">
        <v>106</v>
      </c>
      <c r="B6" s="16" t="s">
        <v>107</v>
      </c>
      <c r="C6" s="17" t="n">
        <v>46302</v>
      </c>
      <c r="D6" s="16" t="s">
        <v>108</v>
      </c>
      <c r="E6" s="15" t="s">
        <v>17</v>
      </c>
    </row>
    <row r="7" customFormat="false" ht="43.5" hidden="false" customHeight="true" outlineLevel="0" collapsed="false">
      <c r="A7" s="12" t="s">
        <v>109</v>
      </c>
      <c r="B7" s="13" t="s">
        <v>110</v>
      </c>
      <c r="C7" s="14" t="n">
        <v>46326</v>
      </c>
      <c r="D7" s="13" t="s">
        <v>111</v>
      </c>
      <c r="E7" s="12" t="s">
        <v>17</v>
      </c>
    </row>
    <row r="8" customFormat="false" ht="43.5" hidden="false" customHeight="true" outlineLevel="0" collapsed="false">
      <c r="A8" s="15" t="s">
        <v>112</v>
      </c>
      <c r="B8" s="16" t="s">
        <v>113</v>
      </c>
      <c r="C8" s="17" t="n">
        <v>46347</v>
      </c>
      <c r="D8" s="16" t="s">
        <v>114</v>
      </c>
      <c r="E8" s="15" t="s">
        <v>17</v>
      </c>
    </row>
    <row r="9" customFormat="false" ht="43.5" hidden="false" customHeight="true" outlineLevel="0" collapsed="false">
      <c r="A9" s="12" t="s">
        <v>115</v>
      </c>
      <c r="B9" s="13" t="s">
        <v>116</v>
      </c>
      <c r="C9" s="14" t="n">
        <v>46354</v>
      </c>
      <c r="D9" s="13" t="s">
        <v>117</v>
      </c>
      <c r="E9" s="12" t="s">
        <v>17</v>
      </c>
    </row>
    <row r="10" customFormat="false" ht="43.5" hidden="false" customHeight="true" outlineLevel="0" collapsed="false">
      <c r="A10" s="15" t="s">
        <v>118</v>
      </c>
      <c r="B10" s="16" t="s">
        <v>119</v>
      </c>
      <c r="C10" s="17" t="n">
        <v>46368</v>
      </c>
      <c r="D10" s="16" t="s">
        <v>120</v>
      </c>
      <c r="E10" s="15" t="s">
        <v>17</v>
      </c>
    </row>
    <row r="11" customFormat="false" ht="43.5" hidden="false" customHeight="true" outlineLevel="0" collapsed="false">
      <c r="A11" s="12" t="s">
        <v>121</v>
      </c>
      <c r="B11" s="13" t="s">
        <v>122</v>
      </c>
      <c r="C11" s="14" t="n">
        <v>46375</v>
      </c>
      <c r="D11" s="13" t="s">
        <v>123</v>
      </c>
      <c r="E11" s="12" t="s">
        <v>17</v>
      </c>
    </row>
  </sheetData>
  <mergeCells count="2">
    <mergeCell ref="A1:E1"/>
    <mergeCell ref="A2:E2"/>
  </mergeCells>
  <conditionalFormatting sqref="E5:E31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Started"</formula>
    </cfRule>
  </conditionalFormatting>
  <dataValidations count="1">
    <dataValidation allowBlank="true" errorStyle="stop" operator="between" showDropDown="false" showErrorMessage="false" showInputMessage="false" sqref="E5:E31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11" t="s">
        <v>26</v>
      </c>
      <c r="B4" s="11" t="s">
        <v>126</v>
      </c>
      <c r="C4" s="11" t="s">
        <v>127</v>
      </c>
      <c r="D4" s="11" t="s">
        <v>128</v>
      </c>
      <c r="E4" s="11" t="s">
        <v>129</v>
      </c>
      <c r="F4" s="11" t="s">
        <v>130</v>
      </c>
      <c r="G4" s="11" t="s">
        <v>34</v>
      </c>
    </row>
    <row r="5" customFormat="false" ht="51.75" hidden="false" customHeight="true" outlineLevel="0" collapsed="false">
      <c r="A5" s="12" t="s">
        <v>131</v>
      </c>
      <c r="B5" s="13" t="s">
        <v>132</v>
      </c>
      <c r="C5" s="12" t="s">
        <v>133</v>
      </c>
      <c r="D5" s="18" t="s">
        <v>47</v>
      </c>
      <c r="E5" s="13" t="s">
        <v>134</v>
      </c>
      <c r="F5" s="12" t="s">
        <v>41</v>
      </c>
      <c r="G5" s="12" t="s">
        <v>135</v>
      </c>
    </row>
    <row r="6" customFormat="false" ht="51.75" hidden="false" customHeight="true" outlineLevel="0" collapsed="false">
      <c r="A6" s="15" t="s">
        <v>136</v>
      </c>
      <c r="B6" s="16" t="s">
        <v>137</v>
      </c>
      <c r="C6" s="15" t="s">
        <v>138</v>
      </c>
      <c r="D6" s="18" t="s">
        <v>47</v>
      </c>
      <c r="E6" s="16" t="s">
        <v>139</v>
      </c>
      <c r="F6" s="15" t="s">
        <v>41</v>
      </c>
      <c r="G6" s="15" t="s">
        <v>135</v>
      </c>
    </row>
    <row r="7" customFormat="false" ht="51.75" hidden="false" customHeight="true" outlineLevel="0" collapsed="false">
      <c r="A7" s="12" t="s">
        <v>140</v>
      </c>
      <c r="B7" s="13" t="s">
        <v>141</v>
      </c>
      <c r="C7" s="12" t="s">
        <v>142</v>
      </c>
      <c r="D7" s="18" t="s">
        <v>47</v>
      </c>
      <c r="E7" s="13" t="s">
        <v>143</v>
      </c>
      <c r="F7" s="12" t="s">
        <v>54</v>
      </c>
      <c r="G7" s="12" t="s">
        <v>135</v>
      </c>
    </row>
    <row r="8" customFormat="false" ht="51.75" hidden="false" customHeight="true" outlineLevel="0" collapsed="false">
      <c r="A8" s="15" t="s">
        <v>144</v>
      </c>
      <c r="B8" s="16" t="s">
        <v>145</v>
      </c>
      <c r="C8" s="15" t="s">
        <v>138</v>
      </c>
      <c r="D8" s="19" t="s">
        <v>71</v>
      </c>
      <c r="E8" s="16" t="s">
        <v>146</v>
      </c>
      <c r="F8" s="15" t="s">
        <v>41</v>
      </c>
      <c r="G8" s="15" t="s">
        <v>135</v>
      </c>
    </row>
    <row r="9" customFormat="false" ht="51.75" hidden="false" customHeight="true" outlineLevel="0" collapsed="false">
      <c r="A9" s="12" t="s">
        <v>147</v>
      </c>
      <c r="B9" s="13" t="s">
        <v>148</v>
      </c>
      <c r="C9" s="12" t="s">
        <v>142</v>
      </c>
      <c r="D9" s="19" t="s">
        <v>71</v>
      </c>
      <c r="E9" s="13" t="s">
        <v>149</v>
      </c>
      <c r="F9" s="12" t="s">
        <v>41</v>
      </c>
      <c r="G9" s="12" t="s">
        <v>135</v>
      </c>
    </row>
    <row r="10" customFormat="false" ht="51.75" hidden="false" customHeight="true" outlineLevel="0" collapsed="false">
      <c r="A10" s="15" t="s">
        <v>150</v>
      </c>
      <c r="B10" s="16" t="s">
        <v>151</v>
      </c>
      <c r="C10" s="15" t="s">
        <v>142</v>
      </c>
      <c r="D10" s="19" t="s">
        <v>71</v>
      </c>
      <c r="E10" s="16" t="s">
        <v>152</v>
      </c>
      <c r="F10" s="15" t="s">
        <v>41</v>
      </c>
      <c r="G10" s="15" t="s">
        <v>135</v>
      </c>
    </row>
  </sheetData>
  <mergeCells count="2">
    <mergeCell ref="A1:G1"/>
    <mergeCell ref="A2:G2"/>
  </mergeCells>
  <conditionalFormatting sqref="G5:G30">
    <cfRule type="cellIs" priority="2" operator="equal" aboveAverage="0" equalAverage="0" bottom="0" percent="0" rank="0" text="" dxfId="7">
      <formula>"Closed"</formula>
    </cfRule>
    <cfRule type="cellIs" priority="3" operator="equal" aboveAverage="0" equalAverage="0" bottom="0" percent="0" rank="0" text="" dxfId="11">
      <formula>"Mitigated"</formula>
    </cfRule>
    <cfRule type="cellIs" priority="4" operator="equal" aboveAverage="0" equalAverage="0" bottom="0" percent="0" rank="0" text="" dxfId="8">
      <formula>"In Progress"</formula>
    </cfRule>
    <cfRule type="cellIs" priority="5" operator="equal" aboveAverage="0" equalAverage="0" bottom="0" percent="0" rank="0" text="" dxfId="10">
      <formula>"Open"</formula>
    </cfRule>
  </conditionalFormatting>
  <dataValidations count="2">
    <dataValidation allowBlank="true" errorStyle="stop" operator="between" showDropDown="false" showErrorMessage="false" showInputMessage="false" sqref="G5:G30" type="list">
      <formula1>"Open,In Progress,Mitigated,Closed"</formula1>
      <formula2>0</formula2>
    </dataValidation>
    <dataValidation allowBlank="true" errorStyle="stop" operator="between" showDropDown="false" showErrorMessage="false" showInputMessage="false" sqref="C5:C30" type="list">
      <formula1>"Blocker,Risk,Dependency"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2026-10-01T17:14:22Z</dcterms:created>
  <dc:creator>openpyxl</dc:creator>
  <dc:description/>
  <dc:language>en-US</dc:language>
  <cp:lastModifiedBy/>
  <dcterms:modified xsi:type="dcterms:W3CDTF">2026-10-01T17:14:22Z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